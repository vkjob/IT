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Лист1" sheetId="1" r:id="rId1"/>
    <sheet name="Товар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2" l="1"/>
  <c r="G6" i="2" s="1"/>
  <c r="G3" i="2"/>
  <c r="G4" i="2"/>
  <c r="G5" i="2"/>
  <c r="G2" i="2"/>
  <c r="F5" i="2"/>
  <c r="F4" i="2"/>
  <c r="F3" i="2"/>
  <c r="F2" i="2"/>
  <c r="E5" i="2"/>
  <c r="E4" i="2"/>
  <c r="E3" i="2"/>
  <c r="E2" i="2"/>
  <c r="B11" i="1"/>
  <c r="B10" i="1"/>
  <c r="B9" i="1"/>
  <c r="D7" i="1"/>
  <c r="E7" i="1"/>
  <c r="F7" i="1"/>
  <c r="B7" i="1"/>
  <c r="K2" i="1"/>
  <c r="J2" i="1"/>
  <c r="E6" i="1"/>
  <c r="E5" i="1"/>
  <c r="E4" i="1"/>
  <c r="E3" i="1"/>
  <c r="E2" i="1"/>
  <c r="F2" i="1" l="1"/>
  <c r="F6" i="1"/>
  <c r="F5" i="1"/>
  <c r="F4" i="1"/>
  <c r="F3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<sst xmlns="http://schemas.openxmlformats.org/spreadsheetml/2006/main" count="30" uniqueCount="29">
  <si>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</si>
  <si>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</si>
  <si>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</si>
  <si>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</si>
  <si>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</si>
  <si>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</si>
  <si>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</si>
  <si>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</si>
  <si>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</si>
  <si>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</si>
  <si>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</si>
  <si>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</si>
  <si>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НДФЛ:</t>
  </si>
  <si>
    <t>Коэффициент: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</si>
  <si>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</si>
  <si>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</si>
  <si>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</si>
  <si>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</si>
  <si>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</si>
  <si>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</si>
  <si>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</si>
  <si>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</si>
  <si>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</si>
  <si>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</si>
  <si>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</si>
  <si>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</si>
  <si>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</si>
  <si>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</si>
  <si>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 xml:space="preserve">общей ставкой НДС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</si>
</sst>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0" fillId="3" borderId="0" xfId="0" applyFill="1"/>
    <xf numFmtId="0" fontId="2" fillId="0" borderId="0" xfId="0" applyFon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B12" sqref="B12"/>
    </sheetView>
  </sheetViews>
  <sheetFormatPr defaultRowHeight="14.5" x14ac:dyDescent="0.35"/>
  <cols>
    <col min="1" max="1" width="17.36328125" bestFit="1" customWidth="1"/>
    <col min="2" max="2" width="11.54296875" bestFit="1" customWidth="1"/>
    <col min="3" max="3" width="10.7265625" bestFit="1" customWidth="1"/>
    <col min="4" max="4" width="13" bestFit="1" customWidth="1"/>
    <col min="5" max="5" width="11.08984375" bestFit="1" customWidth="1"/>
    <col min="6" max="6" width="11.1796875" bestFit="1" customWidth="1"/>
    <col min="8" max="8" width="13.1796875" bestFit="1" customWidth="1"/>
    <col min="9" max="9" width="13.453125" bestFit="1" customWidth="1"/>
    <col min="10" max="11" width="10.17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13</v>
      </c>
    </row>
    <row r="2" spans="1:11" x14ac:dyDescent="0.35">
      <c r="A2" t="s">
        <v>6</v>
      </c>
      <c r="B2" s="2">
        <v>50000</v>
      </c>
      <c r="C2" s="3">
        <v>20</v>
      </c>
      <c r="D2" s="2">
        <f>B2*C2/100</f>
        <v>10000</v>
      </c>
      <c r="E2" s="2">
        <f>(B2+D2)*$H$2</f>
        <v>9000</v>
      </c>
      <c r="F2" s="2">
        <f>B2+D2-E2</f>
        <v>51000</v>
      </c>
      <c r="G2" s="3">
        <v>1</v>
      </c>
      <c r="H2" s="4">
        <v>0.15</v>
      </c>
      <c r="I2">
        <v>1.5</v>
      </c>
      <c r="J2" s="2">
        <f>B2*$I$2</f>
        <v>75000</v>
      </c>
      <c r="K2" s="2">
        <f>C2*$I$2</f>
        <v>30</v>
      </c>
    </row>
    <row r="3" spans="1:11" x14ac:dyDescent="0.35">
      <c r="A3" t="s">
        <v>7</v>
      </c>
      <c r="B3" s="2">
        <v>45000</v>
      </c>
      <c r="C3" s="3">
        <v>15</v>
      </c>
      <c r="D3" s="2">
        <f>B3*C3/100</f>
        <v>6750</v>
      </c>
      <c r="E3" s="2">
        <f>(B3+D3)*$H$2</f>
        <v>7762.5</v>
      </c>
      <c r="F3" s="2">
        <f>B3+D3-E3</f>
        <v>43987.5</v>
      </c>
      <c r="G3" s="3">
        <v>2</v>
      </c>
    </row>
    <row r="4" spans="1:11" x14ac:dyDescent="0.35">
      <c r="A4" t="s">
        <v>8</v>
      </c>
      <c r="B4" s="2">
        <v>62000</v>
      </c>
      <c r="C4" s="3">
        <v>25</v>
      </c>
      <c r="D4" s="2">
        <f>B4*C4/100</f>
        <v>15500</v>
      </c>
      <c r="E4" s="2">
        <f>(B4+D4)*$H$2</f>
        <v>11625</v>
      </c>
      <c r="F4" s="2">
        <f>B4+D4-E4</f>
        <v>65875</v>
      </c>
      <c r="G4" s="3">
        <v>3</v>
      </c>
    </row>
    <row r="5" spans="1:11" x14ac:dyDescent="0.35">
      <c r="A5" t="s">
        <v>9</v>
      </c>
      <c r="B5" s="2">
        <v>55000</v>
      </c>
      <c r="C5" s="3">
        <v>10</v>
      </c>
      <c r="D5" s="2">
        <f>B5*C5/100</f>
        <v>5500</v>
      </c>
      <c r="E5" s="2">
        <f>(B5+D5)*$H$2</f>
        <v>9075</v>
      </c>
      <c r="F5" s="2">
        <f>B5+D5-E5</f>
        <v>51425</v>
      </c>
      <c r="G5" s="3">
        <v>4</v>
      </c>
    </row>
    <row r="6" spans="1:11" x14ac:dyDescent="0.35">
      <c r="A6" t="s">
        <v>10</v>
      </c>
      <c r="B6" s="2">
        <v>40000</v>
      </c>
      <c r="C6" s="3">
        <v>30</v>
      </c>
      <c r="D6" s="2">
        <f>B6*C6/100</f>
        <v>12000</v>
      </c>
      <c r="E6" s="2">
        <f>(B6+D6)*$H$2</f>
        <v>7800</v>
      </c>
      <c r="F6" s="2">
        <f>B6+D6-E6</f>
        <v>44200</v>
      </c>
      <c r="G6" s="3">
        <v>5</v>
      </c>
    </row>
    <row r="7" spans="1:11" x14ac:dyDescent="0.35">
      <c r="A7" s="5" t="s">
        <v>14</v>
      </c>
      <c r="B7" s="2">
        <f>SUM(B2:B6)</f>
        <v>252000</v>
      </c>
      <c r="C7" s="2"/>
      <c r="D7" s="2">
        <f t="shared" ref="C7:G7" si="0">SUM(D2:D6)</f>
        <v>49750</v>
      </c>
      <c r="E7" s="2">
        <f t="shared" si="0"/>
        <v>45262.5</v>
      </c>
      <c r="F7" s="2">
        <f t="shared" si="0"/>
        <v>256487.5</v>
      </c>
      <c r="G7" s="2"/>
    </row>
    <row r="8" spans="1:11" x14ac:dyDescent="0.35">
      <c r="A8" s="5"/>
      <c r="B8" s="2"/>
    </row>
    <row r="9" spans="1:11" x14ac:dyDescent="0.35">
      <c r="A9" s="5" t="s">
        <v>15</v>
      </c>
      <c r="B9" s="2">
        <f>AVERAGE(F2:F6)</f>
        <v>51297.5</v>
      </c>
    </row>
    <row r="10" spans="1:11" x14ac:dyDescent="0.35">
      <c r="A10" s="5" t="s">
        <v>16</v>
      </c>
      <c r="B10" s="2">
        <f>MAX(F2:F6)</f>
        <v>65875</v>
      </c>
    </row>
    <row r="11" spans="1:11" x14ac:dyDescent="0.35">
      <c r="A11" s="5" t="s">
        <v>17</v>
      </c>
      <c r="B11" s="2">
        <f>MIN(F2:F6)</f>
        <v>43987.5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G6" sqref="G6"/>
    </sheetView>
  </sheetViews>
  <sheetFormatPr defaultRowHeight="14.5" x14ac:dyDescent="0.35"/>
  <cols>
    <col min="1" max="1" width="10.81640625" bestFit="1" customWidth="1"/>
    <col min="2" max="2" width="10.54296875" bestFit="1" customWidth="1"/>
    <col min="5" max="5" width="11.1796875" bestFit="1" customWidth="1"/>
    <col min="6" max="6" width="15.7265625" bestFit="1" customWidth="1"/>
    <col min="7" max="7" width="22" bestFit="1" customWidth="1"/>
  </cols>
  <sheetData>
    <row r="1" spans="1:8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28</v>
      </c>
      <c r="H1" s="6">
        <v>0.2</v>
      </c>
    </row>
    <row r="2" spans="1:8" x14ac:dyDescent="0.35">
      <c r="A2" t="s">
        <v>24</v>
      </c>
      <c r="B2" s="2">
        <v>45000</v>
      </c>
      <c r="C2">
        <v>5</v>
      </c>
      <c r="D2">
        <v>5</v>
      </c>
      <c r="E2" s="2">
        <f>B2*C2</f>
        <v>225000</v>
      </c>
      <c r="F2" s="2">
        <f>E2*(1-D2/100)</f>
        <v>213750</v>
      </c>
      <c r="G2" s="2">
        <f>F2*$H$1</f>
        <v>42750</v>
      </c>
    </row>
    <row r="3" spans="1:8" x14ac:dyDescent="0.35">
      <c r="A3" t="s">
        <v>25</v>
      </c>
      <c r="B3" s="2">
        <v>18000</v>
      </c>
      <c r="C3">
        <v>10</v>
      </c>
      <c r="D3">
        <v>3</v>
      </c>
      <c r="E3" s="2">
        <f>B3*C3</f>
        <v>180000</v>
      </c>
      <c r="F3" s="2">
        <f>E3*(1-D3/100)</f>
        <v>174600</v>
      </c>
      <c r="G3" s="2">
        <f t="shared" ref="G3:G6" si="0">F3*$H$1</f>
        <v>34920</v>
      </c>
    </row>
    <row r="4" spans="1:8" x14ac:dyDescent="0.35">
      <c r="A4" t="s">
        <v>26</v>
      </c>
      <c r="B4" s="2">
        <v>1500</v>
      </c>
      <c r="C4">
        <v>25</v>
      </c>
      <c r="D4">
        <v>10</v>
      </c>
      <c r="E4" s="2">
        <f>B4*C4</f>
        <v>37500</v>
      </c>
      <c r="F4" s="2">
        <f>E4*(1-D4/100)</f>
        <v>33750</v>
      </c>
      <c r="G4" s="2">
        <f t="shared" si="0"/>
        <v>6750</v>
      </c>
    </row>
    <row r="5" spans="1:8" x14ac:dyDescent="0.35">
      <c r="A5" t="s">
        <v>27</v>
      </c>
      <c r="B5" s="2">
        <v>800</v>
      </c>
      <c r="C5">
        <v>30</v>
      </c>
      <c r="D5">
        <v>7</v>
      </c>
      <c r="E5" s="2">
        <f>B5*C5</f>
        <v>24000</v>
      </c>
      <c r="F5" s="2">
        <f>E5*(1-D5/100)</f>
        <v>22320</v>
      </c>
      <c r="G5" s="2">
        <f t="shared" si="0"/>
        <v>4464</v>
      </c>
    </row>
    <row r="6" spans="1:8" x14ac:dyDescent="0.35">
      <c r="E6" s="5" t="s">
        <v>14</v>
      </c>
      <c r="F6" s="2">
        <f>SUM(F2:F5)</f>
        <v>444420</v>
      </c>
      <c r="G6" s="2">
        <f t="shared" si="0"/>
        <v>88884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2026-09-24T11:47:14Z</dcterms:modified>
</cp:coreProperties>
</file>