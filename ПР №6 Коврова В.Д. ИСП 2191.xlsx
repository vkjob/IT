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Статистика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I3" i="2"/>
  <c r="I2" i="2"/>
  <c r="I1" i="2"/>
  <c r="E25" i="2"/>
  <c r="E24" i="2"/>
  <c r="E23" i="2"/>
  <c r="E22" i="2"/>
  <c r="E20" i="2"/>
  <c r="E19" i="2"/>
  <c r="E18" i="2"/>
  <c r="D25" i="2"/>
  <c r="C25" i="2"/>
  <c r="D24" i="2"/>
  <c r="C24" i="2"/>
  <c r="D23" i="2"/>
  <c r="C23" i="2"/>
  <c r="D22" i="2"/>
  <c r="C22" i="2"/>
  <c r="D20" i="2"/>
  <c r="C20" i="2"/>
  <c r="D19" i="2"/>
  <c r="C19" i="2"/>
  <c r="D18" i="2"/>
  <c r="C1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F21" i="1"/>
  <c r="D23" i="1"/>
  <c r="E23" i="1"/>
  <c r="F23" i="1"/>
  <c r="G23" i="1"/>
  <c r="C23" i="1"/>
  <c r="D22" i="1"/>
  <c r="E22" i="1"/>
  <c r="F22" i="1"/>
  <c r="G22" i="1"/>
  <c r="C22" i="1"/>
  <c r="D21" i="1"/>
  <c r="E21" i="1"/>
  <c r="G21" i="1"/>
  <c r="C21" i="1"/>
  <c r="D20" i="1"/>
  <c r="E20" i="1"/>
  <c r="F20" i="1"/>
  <c r="G20" i="1"/>
  <c r="C20" i="1"/>
  <c r="D19" i="1"/>
  <c r="E19" i="1"/>
  <c r="F19" i="1"/>
  <c r="G19" i="1"/>
  <c r="D18" i="1"/>
  <c r="E18" i="1"/>
  <c r="F18" i="1"/>
  <c r="G18" i="1"/>
  <c r="C18" i="1"/>
  <c r="C1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<sst xmlns="http://schemas.openxmlformats.org/spreadsheetml/2006/main" count="64" uniqueCount="56">
  <si>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</si>
  <si>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</si>
  <si>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</si>
  <si>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</si>
  <si>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</si>
  <si>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</si>
  <si>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</si>
  <si>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</si>
  <si>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</si>
  <si>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</si>
  <si>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</si>
  <si>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</si>
  <si>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</si>
  <si>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</si>
  <si>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</si>
  <si>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</si>
  <si>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</si>
  <si>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</si>
  <si>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</si>
  <si>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</si>
  <si>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</si>
  <si>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</si>
  <si>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</si>
  <si>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</si>
  <si>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Сумма</t>
  </si>
  <si>
    <t>Среднее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</si>
  <si>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</si>
  <si>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</si>
  <si>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</si>
  <si>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</si>
  <si>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</si>
  <si>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</si>
  <si>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</si>
  <si>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</si>
  <si>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</si>
  <si>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</si>
  <si>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</si>
  <si>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</si>
  <si>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</si>
  <si>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</si>
  <si>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</si>
  <si>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 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</si>
  <si>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</si>
  <si>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</si>
  <si>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</si>
  <si>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</si>
  <si>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</si>
  <si>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</si>
  <si>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</si>
  <si>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</si>
  <si>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Стандартное отклонение</t>
  </si>
  <si>
    <t>дисперсия</t>
  </si>
  <si>
    <t>Средняя выручка Средний</t>
  </si>
  <si>
    <t>Сумма выручки Топ</t>
  </si>
  <si>
    <t>Кол-во товаров Топ</t>
  </si>
  <si>
    <t>Доля выручки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</si>
</sst>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C21" sqref="C21"/>
    </sheetView>
  </sheetViews>
  <sheetFormatPr defaultRowHeight="14.5" x14ac:dyDescent="0.35"/>
  <cols>
    <col min="2" max="2" width="14.81640625" bestFit="1" customWidth="1"/>
    <col min="3" max="3" width="11.54296875" bestFit="1" customWidth="1"/>
    <col min="4" max="4" width="16" bestFit="1" customWidth="1"/>
    <col min="5" max="5" width="14.08984375" bestFit="1" customWidth="1"/>
    <col min="6" max="6" width="13.26953125" bestFit="1" customWidth="1"/>
    <col min="7" max="7" width="13" bestFit="1" customWidth="1"/>
  </cols>
  <sheetData>
    <row r="1" spans="1:9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s="3">
        <v>85</v>
      </c>
      <c r="D2" s="3">
        <v>78</v>
      </c>
      <c r="E2" s="3">
        <v>92</v>
      </c>
      <c r="F2" s="3">
        <f>SUM(C2,D2,E2)</f>
        <v>255</v>
      </c>
      <c r="G2" s="3">
        <f>AVERAGE(C2,D2,E2)</f>
        <v>85</v>
      </c>
    </row>
    <row r="3" spans="1:9" x14ac:dyDescent="0.35">
      <c r="A3">
        <v>2</v>
      </c>
      <c r="B3" t="s">
        <v>10</v>
      </c>
      <c r="C3" s="3">
        <v>72</v>
      </c>
      <c r="D3" s="3">
        <v>65</v>
      </c>
      <c r="E3" s="3">
        <v>80</v>
      </c>
      <c r="F3" s="3">
        <f t="shared" ref="F3:F16" si="0">SUM(C3,D3,E3)</f>
        <v>217</v>
      </c>
      <c r="G3" s="3">
        <f t="shared" ref="G3:G16" si="1">AVERAGE(C3,D3,E3)</f>
        <v>72.333333333333329</v>
      </c>
    </row>
    <row r="4" spans="1:9" x14ac:dyDescent="0.35">
      <c r="A4">
        <v>3</v>
      </c>
      <c r="B4" t="s">
        <v>11</v>
      </c>
      <c r="C4" s="3">
        <v>95</v>
      </c>
      <c r="D4" s="3">
        <v>88</v>
      </c>
      <c r="E4" s="3">
        <v>98</v>
      </c>
      <c r="F4" s="3">
        <f t="shared" si="0"/>
        <v>281</v>
      </c>
      <c r="G4" s="3">
        <f t="shared" si="1"/>
        <v>93.666666666666671</v>
      </c>
    </row>
    <row r="5" spans="1:9" x14ac:dyDescent="0.35">
      <c r="A5">
        <v>4</v>
      </c>
      <c r="B5" t="s">
        <v>12</v>
      </c>
      <c r="C5" s="3">
        <v>65</v>
      </c>
      <c r="D5" s="3">
        <v>55</v>
      </c>
      <c r="E5" s="3">
        <v>70</v>
      </c>
      <c r="F5" s="3">
        <f t="shared" si="0"/>
        <v>190</v>
      </c>
      <c r="G5" s="3">
        <f t="shared" si="1"/>
        <v>63.333333333333336</v>
      </c>
    </row>
    <row r="6" spans="1:9" x14ac:dyDescent="0.35">
      <c r="A6">
        <v>5</v>
      </c>
      <c r="B6" t="s">
        <v>13</v>
      </c>
      <c r="C6" s="3">
        <v>78</v>
      </c>
      <c r="D6" s="3">
        <v>82</v>
      </c>
      <c r="E6" s="3">
        <v>85</v>
      </c>
      <c r="F6" s="3">
        <f t="shared" si="0"/>
        <v>245</v>
      </c>
      <c r="G6" s="3">
        <f t="shared" si="1"/>
        <v>81.666666666666671</v>
      </c>
    </row>
    <row r="7" spans="1:9" x14ac:dyDescent="0.35">
      <c r="A7">
        <v>6</v>
      </c>
      <c r="B7" t="s">
        <v>14</v>
      </c>
      <c r="C7" s="3">
        <v>88</v>
      </c>
      <c r="D7" s="3">
        <v>90</v>
      </c>
      <c r="E7" s="3">
        <v>95</v>
      </c>
      <c r="F7" s="3">
        <f t="shared" si="0"/>
        <v>273</v>
      </c>
      <c r="G7" s="3">
        <f t="shared" si="1"/>
        <v>91</v>
      </c>
    </row>
    <row r="8" spans="1:9" x14ac:dyDescent="0.35">
      <c r="A8">
        <v>7</v>
      </c>
      <c r="B8" t="s">
        <v>15</v>
      </c>
      <c r="C8" s="3">
        <v>65</v>
      </c>
      <c r="D8" s="3">
        <v>70</v>
      </c>
      <c r="E8" s="3">
        <v>68</v>
      </c>
      <c r="F8" s="3">
        <f t="shared" si="0"/>
        <v>203</v>
      </c>
      <c r="G8" s="3">
        <f t="shared" si="1"/>
        <v>67.666666666666671</v>
      </c>
    </row>
    <row r="9" spans="1:9" x14ac:dyDescent="0.35">
      <c r="A9">
        <v>8</v>
      </c>
      <c r="B9" t="s">
        <v>16</v>
      </c>
      <c r="C9" s="3">
        <v>92</v>
      </c>
      <c r="D9" s="3">
        <v>85</v>
      </c>
      <c r="E9" s="3">
        <v>88</v>
      </c>
      <c r="F9" s="3">
        <f t="shared" si="0"/>
        <v>265</v>
      </c>
      <c r="G9" s="3">
        <f t="shared" si="1"/>
        <v>88.333333333333329</v>
      </c>
    </row>
    <row r="10" spans="1:9" x14ac:dyDescent="0.35">
      <c r="A10">
        <v>9</v>
      </c>
      <c r="B10" t="s">
        <v>17</v>
      </c>
      <c r="C10" s="3">
        <v>55</v>
      </c>
      <c r="D10" s="3">
        <v>60</v>
      </c>
      <c r="E10" s="3">
        <v>58</v>
      </c>
      <c r="F10" s="3">
        <f t="shared" si="0"/>
        <v>173</v>
      </c>
      <c r="G10" s="3">
        <f t="shared" si="1"/>
        <v>57.666666666666664</v>
      </c>
    </row>
    <row r="11" spans="1:9" x14ac:dyDescent="0.35">
      <c r="A11">
        <v>10</v>
      </c>
      <c r="B11" t="s">
        <v>18</v>
      </c>
      <c r="C11" s="3">
        <v>80</v>
      </c>
      <c r="D11" s="3">
        <v>75</v>
      </c>
      <c r="E11" s="3">
        <v>82</v>
      </c>
      <c r="F11" s="3">
        <f t="shared" si="0"/>
        <v>237</v>
      </c>
      <c r="G11" s="3">
        <f t="shared" si="1"/>
        <v>79</v>
      </c>
    </row>
    <row r="12" spans="1:9" x14ac:dyDescent="0.35">
      <c r="A12">
        <v>11</v>
      </c>
      <c r="B12" t="s">
        <v>19</v>
      </c>
      <c r="C12" s="3">
        <v>70</v>
      </c>
      <c r="D12" s="3">
        <v>68</v>
      </c>
      <c r="E12" s="3">
        <v>72</v>
      </c>
      <c r="F12" s="3">
        <f t="shared" si="0"/>
        <v>210</v>
      </c>
      <c r="G12" s="3">
        <f t="shared" si="1"/>
        <v>70</v>
      </c>
    </row>
    <row r="13" spans="1:9" x14ac:dyDescent="0.35">
      <c r="A13">
        <v>12</v>
      </c>
      <c r="B13" t="s">
        <v>20</v>
      </c>
      <c r="C13" s="3">
        <v>90</v>
      </c>
      <c r="D13" s="3">
        <v>92</v>
      </c>
      <c r="E13" s="3">
        <v>94</v>
      </c>
      <c r="F13" s="3">
        <f t="shared" si="0"/>
        <v>276</v>
      </c>
      <c r="G13" s="3">
        <f t="shared" si="1"/>
        <v>92</v>
      </c>
    </row>
    <row r="14" spans="1:9" x14ac:dyDescent="0.35">
      <c r="A14">
        <v>13</v>
      </c>
      <c r="B14" t="s">
        <v>21</v>
      </c>
      <c r="C14" s="3">
        <v>75</v>
      </c>
      <c r="D14" s="3">
        <v>78</v>
      </c>
      <c r="E14" s="3">
        <v>80</v>
      </c>
      <c r="F14" s="3">
        <f t="shared" si="0"/>
        <v>233</v>
      </c>
      <c r="G14" s="3">
        <f t="shared" si="1"/>
        <v>77.666666666666671</v>
      </c>
    </row>
    <row r="15" spans="1:9" x14ac:dyDescent="0.35">
      <c r="A15">
        <v>14</v>
      </c>
      <c r="B15" t="s">
        <v>22</v>
      </c>
      <c r="C15" s="3">
        <v>62</v>
      </c>
      <c r="D15" s="3">
        <v>58</v>
      </c>
      <c r="E15" s="3">
        <v>65</v>
      </c>
      <c r="F15" s="3">
        <f t="shared" si="0"/>
        <v>185</v>
      </c>
      <c r="G15" s="3">
        <f t="shared" si="1"/>
        <v>61.666666666666664</v>
      </c>
    </row>
    <row r="16" spans="1:9" x14ac:dyDescent="0.35">
      <c r="A16">
        <v>15</v>
      </c>
      <c r="B16" t="s">
        <v>23</v>
      </c>
      <c r="C16" s="3">
        <v>98</v>
      </c>
      <c r="D16" s="3">
        <v>95</v>
      </c>
      <c r="E16" s="3">
        <v>100</v>
      </c>
      <c r="F16" s="3">
        <f t="shared" si="0"/>
        <v>293</v>
      </c>
      <c r="G16" s="3">
        <f t="shared" si="1"/>
        <v>97.666666666666671</v>
      </c>
    </row>
    <row r="18" spans="2:7" x14ac:dyDescent="0.35">
      <c r="B18" t="s">
        <v>24</v>
      </c>
      <c r="C18" s="3">
        <f>SUM(C2:C16)</f>
        <v>1170</v>
      </c>
      <c r="D18" s="3">
        <f t="shared" ref="D18:G18" si="2">SUM(D2:D16)</f>
        <v>1139</v>
      </c>
      <c r="E18" s="3">
        <f t="shared" si="2"/>
        <v>1227</v>
      </c>
      <c r="F18" s="3">
        <f t="shared" si="2"/>
        <v>3536</v>
      </c>
      <c r="G18" s="3">
        <f t="shared" si="2"/>
        <v>1178.6666666666667</v>
      </c>
    </row>
    <row r="19" spans="2:7" x14ac:dyDescent="0.35">
      <c r="B19" t="s">
        <v>25</v>
      </c>
      <c r="C19" s="3">
        <f>AVERAGE(C2:C16)</f>
        <v>78</v>
      </c>
      <c r="D19" s="3">
        <f t="shared" ref="D19:G19" si="3">AVERAGE(D2:D16)</f>
        <v>75.933333333333337</v>
      </c>
      <c r="E19" s="3">
        <f t="shared" si="3"/>
        <v>81.8</v>
      </c>
      <c r="F19" s="3">
        <f t="shared" si="3"/>
        <v>235.73333333333332</v>
      </c>
      <c r="G19" s="3">
        <f t="shared" si="3"/>
        <v>78.577777777777783</v>
      </c>
    </row>
    <row r="20" spans="2:7" x14ac:dyDescent="0.35">
      <c r="B20" t="s">
        <v>26</v>
      </c>
      <c r="C20" s="3">
        <f>MEDIAN(C2:C16)</f>
        <v>78</v>
      </c>
      <c r="D20" s="3">
        <f t="shared" ref="D20:G20" si="4">MEDIAN(D2:D16)</f>
        <v>78</v>
      </c>
      <c r="E20" s="3">
        <f t="shared" si="4"/>
        <v>82</v>
      </c>
      <c r="F20" s="3">
        <f t="shared" si="4"/>
        <v>237</v>
      </c>
      <c r="G20" s="3">
        <f t="shared" si="4"/>
        <v>79</v>
      </c>
    </row>
    <row r="21" spans="2:7" x14ac:dyDescent="0.35">
      <c r="B21" t="s">
        <v>27</v>
      </c>
      <c r="C21" s="3">
        <f>MODE(C2:C16)</f>
        <v>65</v>
      </c>
      <c r="D21" s="3">
        <f t="shared" ref="D21:G21" si="5">MODE(D2:D16)</f>
        <v>78</v>
      </c>
      <c r="E21" s="3">
        <f t="shared" si="5"/>
        <v>80</v>
      </c>
      <c r="F21" s="3" t="e">
        <f>MODE(F2:F16)</f>
        <v>#N/A</v>
      </c>
      <c r="G21" s="3" t="e">
        <f t="shared" si="5"/>
        <v>#N/A</v>
      </c>
    </row>
    <row r="22" spans="2:7" x14ac:dyDescent="0.35">
      <c r="B22" t="s">
        <v>28</v>
      </c>
      <c r="C22" s="3">
        <f>MIN(C2:C16)</f>
        <v>55</v>
      </c>
      <c r="D22" s="3">
        <f t="shared" ref="D22:G22" si="6">MIN(D2:D16)</f>
        <v>55</v>
      </c>
      <c r="E22" s="3">
        <f t="shared" si="6"/>
        <v>58</v>
      </c>
      <c r="F22" s="3">
        <f t="shared" si="6"/>
        <v>173</v>
      </c>
      <c r="G22" s="3">
        <f t="shared" si="6"/>
        <v>57.666666666666664</v>
      </c>
    </row>
    <row r="23" spans="2:7" x14ac:dyDescent="0.35">
      <c r="B23" t="s">
        <v>29</v>
      </c>
      <c r="C23" s="3">
        <f>MAX(C2:C16)</f>
        <v>98</v>
      </c>
      <c r="D23" s="3">
        <f t="shared" ref="D23:G23" si="7">MAX(D2:D16)</f>
        <v>95</v>
      </c>
      <c r="E23" s="3">
        <f t="shared" si="7"/>
        <v>100</v>
      </c>
      <c r="F23" s="3">
        <f t="shared" si="7"/>
        <v>293</v>
      </c>
      <c r="G23" s="3">
        <f t="shared" si="7"/>
        <v>97.666666666666671</v>
      </c>
    </row>
    <row r="24" spans="2:7" x14ac:dyDescent="0.35">
      <c r="C24" s="3"/>
      <c r="E24" s="3"/>
      <c r="G24" s="3"/>
    </row>
    <row r="25" spans="2:7" x14ac:dyDescent="0.35">
      <c r="C25" s="3"/>
      <c r="E25" s="3"/>
      <c r="G25" s="3"/>
    </row>
    <row r="26" spans="2:7" x14ac:dyDescent="0.35">
      <c r="C26" s="3"/>
      <c r="E26" s="3"/>
      <c r="G26" s="3"/>
    </row>
    <row r="27" spans="2:7" x14ac:dyDescent="0.35">
      <c r="C27" s="3"/>
      <c r="E27" s="3"/>
      <c r="G27" s="3"/>
    </row>
    <row r="28" spans="2:7" x14ac:dyDescent="0.35">
      <c r="C28" s="3"/>
      <c r="E28" s="3"/>
      <c r="G28" s="3"/>
    </row>
    <row r="29" spans="2:7" x14ac:dyDescent="0.35">
      <c r="C29" s="3"/>
      <c r="E29" s="3"/>
      <c r="G29" s="3"/>
    </row>
    <row r="30" spans="2:7" x14ac:dyDescent="0.35">
      <c r="C30" s="3"/>
      <c r="E30" s="3"/>
      <c r="G30" s="3"/>
    </row>
    <row r="31" spans="2:7" x14ac:dyDescent="0.35">
      <c r="C31" s="3"/>
      <c r="E31" s="3"/>
      <c r="G31" s="3"/>
    </row>
    <row r="32" spans="2:7" x14ac:dyDescent="0.35">
      <c r="C32" s="3"/>
      <c r="E32" s="3"/>
      <c r="G3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J3" sqref="J3"/>
    </sheetView>
  </sheetViews>
  <sheetFormatPr defaultRowHeight="14.5" x14ac:dyDescent="0.35"/>
  <cols>
    <col min="2" max="2" width="22.90625" bestFit="1" customWidth="1"/>
    <col min="3" max="3" width="10.54296875" bestFit="1" customWidth="1"/>
    <col min="4" max="4" width="13.1796875" bestFit="1" customWidth="1"/>
    <col min="6" max="6" width="9.6328125" bestFit="1" customWidth="1"/>
    <col min="7" max="7" width="12.90625" bestFit="1" customWidth="1"/>
    <col min="8" max="8" width="23.90625" bestFit="1" customWidth="1"/>
  </cols>
  <sheetData>
    <row r="1" spans="1:10" x14ac:dyDescent="0.3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55</v>
      </c>
      <c r="H1" t="s">
        <v>54</v>
      </c>
      <c r="I1">
        <f>COUNTIF(F2:F16, "Топ")</f>
        <v>3</v>
      </c>
      <c r="J1" t="s">
        <v>8</v>
      </c>
    </row>
    <row r="2" spans="1:10" x14ac:dyDescent="0.35">
      <c r="A2">
        <v>1</v>
      </c>
      <c r="B2" t="s">
        <v>35</v>
      </c>
      <c r="C2">
        <v>45000</v>
      </c>
      <c r="D2">
        <v>12</v>
      </c>
      <c r="E2">
        <f>C2*D2</f>
        <v>540000</v>
      </c>
      <c r="F2" s="2" t="str">
        <f>IF(E2 &gt; 100000, "Топ",IF(E2&gt; 50000, "Средний", "Низкий"))</f>
        <v>Топ</v>
      </c>
      <c r="G2">
        <f>E2/$E$18</f>
        <v>0.28600180075207882</v>
      </c>
      <c r="H2" t="s">
        <v>53</v>
      </c>
      <c r="I2">
        <f>SUMIF(F2:F16, "Топ", E2:E16)</f>
        <v>1102000</v>
      </c>
    </row>
    <row r="3" spans="1:10" x14ac:dyDescent="0.35">
      <c r="A3">
        <v>2</v>
      </c>
      <c r="B3" t="s">
        <v>36</v>
      </c>
      <c r="C3">
        <v>18000</v>
      </c>
      <c r="D3">
        <v>25</v>
      </c>
      <c r="E3">
        <f t="shared" ref="E3:E16" si="0">C3*D3</f>
        <v>450000</v>
      </c>
      <c r="F3" s="2" t="str">
        <f t="shared" ref="F3:F16" si="1">IF(E3 &gt; 100000, "Топ",IF(E3&gt; 50000, "Средний", "Низкий"))</f>
        <v>Топ</v>
      </c>
      <c r="G3">
        <f t="shared" ref="G3:G16" si="2">E3/$E$18</f>
        <v>0.23833483396006566</v>
      </c>
      <c r="H3" t="s">
        <v>52</v>
      </c>
      <c r="I3">
        <f>AVERAGEIF(F2:F16, "Средний",E2:E16)</f>
        <v>73011.111111111109</v>
      </c>
    </row>
    <row r="4" spans="1:10" x14ac:dyDescent="0.35">
      <c r="A4">
        <v>3</v>
      </c>
      <c r="B4" t="s">
        <v>37</v>
      </c>
      <c r="C4">
        <v>1500</v>
      </c>
      <c r="D4">
        <v>60</v>
      </c>
      <c r="E4">
        <f t="shared" si="0"/>
        <v>90000</v>
      </c>
      <c r="F4" s="2" t="str">
        <f t="shared" si="1"/>
        <v>Средний</v>
      </c>
      <c r="G4">
        <f t="shared" si="2"/>
        <v>4.7666966792013134E-2</v>
      </c>
    </row>
    <row r="5" spans="1:10" x14ac:dyDescent="0.35">
      <c r="A5">
        <v>4</v>
      </c>
      <c r="B5" t="s">
        <v>38</v>
      </c>
      <c r="C5">
        <v>800</v>
      </c>
      <c r="D5">
        <v>85</v>
      </c>
      <c r="E5">
        <f t="shared" si="0"/>
        <v>68000</v>
      </c>
      <c r="F5" s="2" t="str">
        <f t="shared" si="1"/>
        <v>Средний</v>
      </c>
      <c r="G5">
        <f t="shared" si="2"/>
        <v>3.6015041576187699E-2</v>
      </c>
    </row>
    <row r="6" spans="1:10" x14ac:dyDescent="0.35">
      <c r="A6">
        <v>5</v>
      </c>
      <c r="B6" t="s">
        <v>39</v>
      </c>
      <c r="C6">
        <v>12000</v>
      </c>
      <c r="D6">
        <v>8</v>
      </c>
      <c r="E6">
        <f t="shared" si="0"/>
        <v>96000</v>
      </c>
      <c r="F6" s="2" t="str">
        <f t="shared" si="1"/>
        <v>Средний</v>
      </c>
      <c r="G6">
        <f t="shared" si="2"/>
        <v>5.0844764578147343E-2</v>
      </c>
    </row>
    <row r="7" spans="1:10" x14ac:dyDescent="0.35">
      <c r="A7">
        <v>6</v>
      </c>
      <c r="B7" t="s">
        <v>40</v>
      </c>
      <c r="C7">
        <v>9000</v>
      </c>
      <c r="D7">
        <v>6</v>
      </c>
      <c r="E7">
        <f t="shared" si="0"/>
        <v>54000</v>
      </c>
      <c r="F7" s="2" t="str">
        <f t="shared" si="1"/>
        <v>Средний</v>
      </c>
      <c r="G7">
        <f t="shared" si="2"/>
        <v>2.8600180075207881E-2</v>
      </c>
    </row>
    <row r="8" spans="1:10" x14ac:dyDescent="0.35">
      <c r="A8">
        <v>7</v>
      </c>
      <c r="B8" t="s">
        <v>41</v>
      </c>
      <c r="C8">
        <v>600</v>
      </c>
      <c r="D8">
        <v>120</v>
      </c>
      <c r="E8">
        <f t="shared" si="0"/>
        <v>72000</v>
      </c>
      <c r="F8" s="2" t="str">
        <f t="shared" si="1"/>
        <v>Средний</v>
      </c>
      <c r="G8">
        <f t="shared" si="2"/>
        <v>3.8133573433610506E-2</v>
      </c>
    </row>
    <row r="9" spans="1:10" x14ac:dyDescent="0.35">
      <c r="A9">
        <v>8</v>
      </c>
      <c r="B9" t="s">
        <v>42</v>
      </c>
      <c r="C9">
        <v>5500</v>
      </c>
      <c r="D9">
        <v>15</v>
      </c>
      <c r="E9">
        <f t="shared" si="0"/>
        <v>82500</v>
      </c>
      <c r="F9" s="2" t="str">
        <f t="shared" si="1"/>
        <v>Средний</v>
      </c>
      <c r="G9">
        <f t="shared" si="2"/>
        <v>4.3694719559345375E-2</v>
      </c>
    </row>
    <row r="10" spans="1:10" x14ac:dyDescent="0.35">
      <c r="A10">
        <v>9</v>
      </c>
      <c r="B10" t="s">
        <v>43</v>
      </c>
      <c r="C10">
        <v>2800</v>
      </c>
      <c r="D10">
        <v>22</v>
      </c>
      <c r="E10">
        <f t="shared" si="0"/>
        <v>61600</v>
      </c>
      <c r="F10" s="2" t="str">
        <f t="shared" si="1"/>
        <v>Средний</v>
      </c>
      <c r="G10">
        <f t="shared" si="2"/>
        <v>3.2625390604311209E-2</v>
      </c>
    </row>
    <row r="11" spans="1:10" x14ac:dyDescent="0.35">
      <c r="A11">
        <v>10</v>
      </c>
      <c r="B11" t="s">
        <v>44</v>
      </c>
      <c r="C11">
        <v>3200</v>
      </c>
      <c r="D11">
        <v>35</v>
      </c>
      <c r="E11">
        <f t="shared" si="0"/>
        <v>112000</v>
      </c>
      <c r="F11" s="2" t="str">
        <f t="shared" si="1"/>
        <v>Топ</v>
      </c>
      <c r="G11">
        <f t="shared" si="2"/>
        <v>5.9318892007838568E-2</v>
      </c>
    </row>
    <row r="12" spans="1:10" x14ac:dyDescent="0.35">
      <c r="A12">
        <v>11</v>
      </c>
      <c r="B12" t="s">
        <v>45</v>
      </c>
      <c r="C12">
        <v>400</v>
      </c>
      <c r="D12">
        <v>90</v>
      </c>
      <c r="E12">
        <f t="shared" si="0"/>
        <v>36000</v>
      </c>
      <c r="F12" s="2" t="str">
        <f t="shared" si="1"/>
        <v>Низкий</v>
      </c>
      <c r="G12">
        <f t="shared" si="2"/>
        <v>1.9066786716805253E-2</v>
      </c>
    </row>
    <row r="13" spans="1:10" x14ac:dyDescent="0.35">
      <c r="A13">
        <v>12</v>
      </c>
      <c r="B13" t="s">
        <v>46</v>
      </c>
      <c r="C13">
        <v>1200</v>
      </c>
      <c r="D13">
        <v>40</v>
      </c>
      <c r="E13">
        <f t="shared" si="0"/>
        <v>48000</v>
      </c>
      <c r="F13" s="2" t="str">
        <f t="shared" si="1"/>
        <v>Низкий</v>
      </c>
      <c r="G13">
        <f t="shared" si="2"/>
        <v>2.5422382289073672E-2</v>
      </c>
    </row>
    <row r="14" spans="1:10" x14ac:dyDescent="0.35">
      <c r="A14">
        <v>13</v>
      </c>
      <c r="B14" t="s">
        <v>47</v>
      </c>
      <c r="C14">
        <v>2500</v>
      </c>
      <c r="D14">
        <v>18</v>
      </c>
      <c r="E14">
        <f t="shared" si="0"/>
        <v>45000</v>
      </c>
      <c r="F14" s="2" t="str">
        <f t="shared" si="1"/>
        <v>Низкий</v>
      </c>
      <c r="G14">
        <f t="shared" si="2"/>
        <v>2.3833483396006567E-2</v>
      </c>
    </row>
    <row r="15" spans="1:10" x14ac:dyDescent="0.35">
      <c r="A15">
        <v>14</v>
      </c>
      <c r="B15" t="s">
        <v>48</v>
      </c>
      <c r="C15">
        <v>350</v>
      </c>
      <c r="D15">
        <v>200</v>
      </c>
      <c r="E15">
        <f t="shared" si="0"/>
        <v>70000</v>
      </c>
      <c r="F15" s="2" t="str">
        <f t="shared" si="1"/>
        <v>Средний</v>
      </c>
      <c r="G15">
        <f t="shared" si="2"/>
        <v>3.7074307504899102E-2</v>
      </c>
    </row>
    <row r="16" spans="1:10" x14ac:dyDescent="0.35">
      <c r="A16">
        <v>15</v>
      </c>
      <c r="B16" t="s">
        <v>49</v>
      </c>
      <c r="C16">
        <v>4500</v>
      </c>
      <c r="D16">
        <v>14</v>
      </c>
      <c r="E16">
        <f t="shared" si="0"/>
        <v>63000</v>
      </c>
      <c r="F16" s="2" t="str">
        <f t="shared" si="1"/>
        <v>Средний</v>
      </c>
      <c r="G16">
        <f t="shared" si="2"/>
        <v>3.3366876754409192E-2</v>
      </c>
    </row>
    <row r="18" spans="2:5" x14ac:dyDescent="0.35">
      <c r="B18" t="s">
        <v>24</v>
      </c>
      <c r="C18">
        <f>SUM(C2:C16)</f>
        <v>107350</v>
      </c>
      <c r="D18">
        <f>SUM(D2:D16)</f>
        <v>750</v>
      </c>
      <c r="E18">
        <f>SUM(E2:E16)</f>
        <v>1888100</v>
      </c>
    </row>
    <row r="19" spans="2:5" x14ac:dyDescent="0.35">
      <c r="B19" t="s">
        <v>25</v>
      </c>
      <c r="C19">
        <f>AVERAGE(C2:C16)</f>
        <v>7156.666666666667</v>
      </c>
      <c r="D19">
        <f>AVERAGE(D2:D16)</f>
        <v>50</v>
      </c>
      <c r="E19">
        <f>AVERAGE(E2:E16)</f>
        <v>125873.33333333333</v>
      </c>
    </row>
    <row r="20" spans="2:5" x14ac:dyDescent="0.35">
      <c r="B20" t="s">
        <v>26</v>
      </c>
      <c r="C20">
        <f>MEDIAN(C2:C16)</f>
        <v>2800</v>
      </c>
      <c r="D20">
        <f>MEDIAN(D2:D16)</f>
        <v>25</v>
      </c>
      <c r="E20">
        <f>MEDIAN(E2:E16)</f>
        <v>70000</v>
      </c>
    </row>
    <row r="21" spans="2:5" x14ac:dyDescent="0.35">
      <c r="B21" t="s">
        <v>27</v>
      </c>
    </row>
    <row r="22" spans="2:5" x14ac:dyDescent="0.35">
      <c r="B22" t="s">
        <v>28</v>
      </c>
      <c r="C22">
        <f>MIN(C2:C16)</f>
        <v>350</v>
      </c>
      <c r="D22">
        <f>MIN(D2:D16)</f>
        <v>6</v>
      </c>
      <c r="E22">
        <f>MIN(E2:E16)</f>
        <v>36000</v>
      </c>
    </row>
    <row r="23" spans="2:5" x14ac:dyDescent="0.35">
      <c r="B23" t="s">
        <v>29</v>
      </c>
      <c r="C23">
        <f>MAX(C2:C16)</f>
        <v>45000</v>
      </c>
      <c r="D23">
        <f>MAX(D2:D16)</f>
        <v>200</v>
      </c>
      <c r="E23">
        <f>MAX(E2:E16)</f>
        <v>540000</v>
      </c>
    </row>
    <row r="24" spans="2:5" x14ac:dyDescent="0.35">
      <c r="B24" t="s">
        <v>50</v>
      </c>
      <c r="C24">
        <f>STDEV(C2:C16)</f>
        <v>11605.215371096041</v>
      </c>
      <c r="D24">
        <f>STDEV(D2:D16)</f>
        <v>53.949712034184465</v>
      </c>
      <c r="E24">
        <f>STDEV(E2:E16)</f>
        <v>152155.31757604354</v>
      </c>
    </row>
    <row r="25" spans="2:5" x14ac:dyDescent="0.35">
      <c r="B25" t="s">
        <v>51</v>
      </c>
      <c r="C25">
        <f>VAR(C2:C16)</f>
        <v>134681023.80952382</v>
      </c>
      <c r="D25">
        <f>VAR(D2:D16)</f>
        <v>2910.5714285714284</v>
      </c>
      <c r="E25">
        <f>VAR(E2:E16)</f>
        <v>23151240666.666668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2026-10-01T12:02:25Z</dcterms:modified>
</cp:coreProperties>
</file>